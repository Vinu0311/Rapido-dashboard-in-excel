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a" sheetId="1" state="hidden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FFFFD700"/>
      <sz val="18"/>
    </font>
    <font>
      <name val="Calibri"/>
      <color rgb="FF6B7280"/>
      <sz val="9"/>
    </font>
    <font>
      <name val="Calibri"/>
      <color rgb="FFEEEEEE"/>
      <sz val="5"/>
    </font>
    <font>
      <name val="Calibri"/>
      <b val="1"/>
      <color rgb="FF374151"/>
      <sz val="15"/>
    </font>
    <font>
      <name val="Calibri"/>
      <color rgb="FF6B7280"/>
      <sz val="8"/>
    </font>
    <font>
      <name val="Calibri"/>
      <b val="1"/>
      <color rgb="FF22803A"/>
      <sz val="15"/>
    </font>
    <font>
      <name val="Calibri"/>
      <b val="1"/>
      <color rgb="FF3B82F6"/>
      <sz val="15"/>
    </font>
    <font>
      <name val="Calibri"/>
      <b val="1"/>
      <color rgb="FFEF4444"/>
      <sz val="15"/>
    </font>
    <font>
      <name val="Calibri"/>
      <b val="1"/>
      <color rgb="FF22C55E"/>
      <sz val="13"/>
    </font>
    <font>
      <name val="Calibri"/>
      <color rgb="FFEEEEEE"/>
      <sz val="4"/>
    </font>
    <font>
      <name val="Calibri"/>
      <b val="1"/>
      <color rgb="FFEF4444"/>
      <sz val="13"/>
    </font>
    <font>
      <name val="Calibri"/>
      <b val="1"/>
      <color rgb="FFB45309"/>
      <sz val="13"/>
    </font>
    <font>
      <name val="Calibri"/>
      <b val="1"/>
      <color rgb="FF374151"/>
      <sz val="13"/>
    </font>
    <font>
      <name val="Calibri"/>
      <b val="1"/>
      <color rgb="FF1A1A1A"/>
      <sz val="11"/>
    </font>
    <font>
      <name val="Calibri"/>
      <b val="1"/>
      <color rgb="FF1A1A1A"/>
      <sz val="10"/>
    </font>
    <font>
      <name val="Calibri"/>
      <b val="1"/>
      <color rgb="FF1A1A1A"/>
      <sz val="12"/>
    </font>
    <font>
      <name val="Calibri"/>
      <color rgb="FFFFD700"/>
      <sz val="9"/>
    </font>
  </fonts>
  <fills count="12">
    <fill>
      <patternFill/>
    </fill>
    <fill>
      <patternFill patternType="gray125"/>
    </fill>
    <fill>
      <patternFill patternType="solid">
        <fgColor rgb="FF1A1A1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D700"/>
      </patternFill>
    </fill>
    <fill>
      <patternFill patternType="solid">
        <fgColor rgb="FF3B82F6"/>
      </patternFill>
    </fill>
    <fill>
      <patternFill patternType="solid">
        <fgColor rgb="FFEEEEEE"/>
      </patternFill>
    </fill>
    <fill>
      <patternFill patternType="solid">
        <fgColor rgb="FF22C55E"/>
      </patternFill>
    </fill>
    <fill>
      <patternFill patternType="solid">
        <fgColor rgb="FFA855F7"/>
      </patternFill>
    </fill>
    <fill>
      <patternFill patternType="solid">
        <fgColor rgb="FFFFF9C4"/>
      </patternFill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horizontal="center" vertical="center" wrapText="1"/>
    </xf>
    <xf numFmtId="0" fontId="13" fillId="4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4" fillId="4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5" fillId="4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4" fillId="3" borderId="0" applyAlignment="1" pivotButton="0" quotePrefix="0" xfId="0">
      <alignment horizontal="center" vertical="center" wrapText="1"/>
    </xf>
    <xf numFmtId="0" fontId="16" fillId="10" borderId="0" applyAlignment="1" pivotButton="0" quotePrefix="0" xfId="0">
      <alignment horizontal="center" vertical="center" wrapText="1"/>
    </xf>
    <xf numFmtId="0" fontId="16" fillId="11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'Data'!B1</f>
            </strRef>
          </tx>
          <spPr>
            <a:ln xmlns:a="http://schemas.openxmlformats.org/drawingml/2006/main" w="25000">
              <a:solidFill>
                <a:srgbClr val="FFD7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'Data'!$A$2:$A$32</f>
            </numRef>
          </cat>
          <val>
            <numRef>
              <f>'Data'!$B$2:$B$32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 of July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'Data'!C1</f>
            </strRef>
          </tx>
          <spPr>
            <a:solidFill xmlns:a="http://schemas.openxmlformats.org/drawingml/2006/main">
              <a:srgbClr val="FFD700"/>
            </a:solidFill>
            <a:ln xmlns:a="http://schemas.openxmlformats.org/drawingml/2006/main">
              <a:prstDash val="solid"/>
            </a:ln>
          </spPr>
          <cat>
            <numRef>
              <f>'Data'!$A$2:$A$32</f>
            </numRef>
          </cat>
          <val>
            <numRef>
              <f>'Data'!$C$2:$C$32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32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18</row>
      <rowOff>0</rowOff>
    </from>
    <ext cx="32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Bookings</t>
        </is>
      </c>
      <c r="C1" t="inlineStr">
        <is>
          <t>Revenue</t>
        </is>
      </c>
      <c r="E1" t="inlineStr">
        <is>
          <t>Method</t>
        </is>
      </c>
      <c r="F1" t="inlineStr">
        <is>
          <t>Revenue</t>
        </is>
      </c>
    </row>
    <row r="2">
      <c r="A2" t="n">
        <v>1</v>
      </c>
      <c r="B2" t="n">
        <v>979</v>
      </c>
      <c r="C2" t="n">
        <v>135707.71</v>
      </c>
      <c r="E2" t="inlineStr">
        <is>
          <t>UPI</t>
        </is>
      </c>
      <c r="F2" t="n">
        <v>2087468.68</v>
      </c>
    </row>
    <row r="3">
      <c r="A3" t="n">
        <v>2</v>
      </c>
      <c r="B3" t="n">
        <v>998</v>
      </c>
      <c r="C3" t="n">
        <v>141445.02</v>
      </c>
      <c r="E3" t="inlineStr">
        <is>
          <t>Wallet</t>
        </is>
      </c>
      <c r="F3" t="n">
        <v>1056461.79</v>
      </c>
    </row>
    <row r="4">
      <c r="A4" t="n">
        <v>3</v>
      </c>
      <c r="B4" t="n">
        <v>940</v>
      </c>
      <c r="C4" t="n">
        <v>131107.17</v>
      </c>
      <c r="E4" t="inlineStr">
        <is>
          <t>Cash</t>
        </is>
      </c>
      <c r="F4" t="n">
        <v>825185.5</v>
      </c>
    </row>
    <row r="5">
      <c r="A5" t="n">
        <v>4</v>
      </c>
      <c r="B5" t="n">
        <v>952</v>
      </c>
      <c r="C5" t="n">
        <v>132816.63</v>
      </c>
      <c r="E5" t="inlineStr">
        <is>
          <t>Card</t>
        </is>
      </c>
      <c r="F5" t="n">
        <v>228072.58</v>
      </c>
    </row>
    <row r="6">
      <c r="A6" t="n">
        <v>5</v>
      </c>
      <c r="B6" t="n">
        <v>1003</v>
      </c>
      <c r="C6" t="n">
        <v>140755.52</v>
      </c>
    </row>
    <row r="7">
      <c r="A7" t="n">
        <v>6</v>
      </c>
      <c r="B7" t="n">
        <v>987</v>
      </c>
      <c r="C7" t="n">
        <v>138104.77</v>
      </c>
    </row>
    <row r="8">
      <c r="A8" t="n">
        <v>7</v>
      </c>
      <c r="B8" t="n">
        <v>969</v>
      </c>
      <c r="C8" t="n">
        <v>138083.15</v>
      </c>
    </row>
    <row r="9">
      <c r="A9" t="n">
        <v>8</v>
      </c>
      <c r="B9" t="n">
        <v>929</v>
      </c>
      <c r="C9" t="n">
        <v>128788.08</v>
      </c>
    </row>
    <row r="10">
      <c r="A10" t="n">
        <v>9</v>
      </c>
      <c r="B10" t="n">
        <v>986</v>
      </c>
      <c r="C10" t="n">
        <v>136794.72</v>
      </c>
    </row>
    <row r="11">
      <c r="A11" t="n">
        <v>10</v>
      </c>
      <c r="B11" t="n">
        <v>953</v>
      </c>
      <c r="C11" t="n">
        <v>132716.06</v>
      </c>
    </row>
    <row r="12">
      <c r="A12" t="n">
        <v>11</v>
      </c>
      <c r="B12" t="n">
        <v>994</v>
      </c>
      <c r="C12" t="n">
        <v>139055.23</v>
      </c>
    </row>
    <row r="13">
      <c r="A13" t="n">
        <v>12</v>
      </c>
      <c r="B13" t="n">
        <v>1006</v>
      </c>
      <c r="C13" t="n">
        <v>139280.71</v>
      </c>
    </row>
    <row r="14">
      <c r="A14" t="n">
        <v>13</v>
      </c>
      <c r="B14" t="n">
        <v>972</v>
      </c>
      <c r="C14" t="n">
        <v>136722.35</v>
      </c>
    </row>
    <row r="15">
      <c r="A15" t="n">
        <v>14</v>
      </c>
      <c r="B15" t="n">
        <v>957</v>
      </c>
      <c r="C15" t="n">
        <v>134930.28</v>
      </c>
    </row>
    <row r="16">
      <c r="A16" t="n">
        <v>15</v>
      </c>
      <c r="B16" t="n">
        <v>958</v>
      </c>
      <c r="C16" t="n">
        <v>133381.17</v>
      </c>
    </row>
    <row r="17">
      <c r="A17" t="n">
        <v>16</v>
      </c>
      <c r="B17" t="n">
        <v>935</v>
      </c>
      <c r="C17" t="n">
        <v>133144.46</v>
      </c>
    </row>
    <row r="18">
      <c r="A18" t="n">
        <v>17</v>
      </c>
      <c r="B18" t="n">
        <v>994</v>
      </c>
      <c r="C18" t="n">
        <v>137003.6</v>
      </c>
    </row>
    <row r="19">
      <c r="A19" t="n">
        <v>18</v>
      </c>
      <c r="B19" t="n">
        <v>977</v>
      </c>
      <c r="C19" t="n">
        <v>137987.44</v>
      </c>
    </row>
    <row r="20">
      <c r="A20" t="n">
        <v>19</v>
      </c>
      <c r="B20" t="n">
        <v>980</v>
      </c>
      <c r="C20" t="n">
        <v>136033.31</v>
      </c>
    </row>
    <row r="21">
      <c r="A21" t="n">
        <v>20</v>
      </c>
      <c r="B21" t="n">
        <v>906</v>
      </c>
      <c r="C21" t="n">
        <v>125511.75</v>
      </c>
    </row>
    <row r="22">
      <c r="A22" t="n">
        <v>21</v>
      </c>
      <c r="B22" t="n">
        <v>970</v>
      </c>
      <c r="C22" t="n">
        <v>133547.32</v>
      </c>
    </row>
    <row r="23">
      <c r="A23" t="n">
        <v>22</v>
      </c>
      <c r="B23" t="n">
        <v>963</v>
      </c>
      <c r="C23" t="n">
        <v>135055.56</v>
      </c>
    </row>
    <row r="24">
      <c r="A24" t="n">
        <v>23</v>
      </c>
      <c r="B24" t="n">
        <v>952</v>
      </c>
      <c r="C24" t="n">
        <v>133371.91</v>
      </c>
    </row>
    <row r="25">
      <c r="A25" t="n">
        <v>24</v>
      </c>
      <c r="B25" t="n">
        <v>922</v>
      </c>
      <c r="C25" t="n">
        <v>129054.88</v>
      </c>
    </row>
    <row r="26">
      <c r="A26" t="n">
        <v>25</v>
      </c>
      <c r="B26" t="n">
        <v>964</v>
      </c>
      <c r="C26" t="n">
        <v>135369.99</v>
      </c>
    </row>
    <row r="27">
      <c r="A27" t="n">
        <v>26</v>
      </c>
      <c r="B27" t="n">
        <v>1009</v>
      </c>
      <c r="C27" t="n">
        <v>142871.36</v>
      </c>
    </row>
    <row r="28">
      <c r="A28" t="n">
        <v>27</v>
      </c>
      <c r="B28" t="n">
        <v>961</v>
      </c>
      <c r="C28" t="n">
        <v>134937.67</v>
      </c>
    </row>
    <row r="29">
      <c r="A29" t="n">
        <v>28</v>
      </c>
      <c r="B29" t="n">
        <v>999</v>
      </c>
      <c r="C29" t="n">
        <v>134617.56</v>
      </c>
    </row>
    <row r="30">
      <c r="A30" t="n">
        <v>29</v>
      </c>
      <c r="B30" t="n">
        <v>969</v>
      </c>
      <c r="C30" t="n">
        <v>137292.08</v>
      </c>
    </row>
    <row r="31">
      <c r="A31" t="n">
        <v>30</v>
      </c>
      <c r="B31" t="n">
        <v>950</v>
      </c>
      <c r="C31" t="n">
        <v>134640.06</v>
      </c>
    </row>
    <row r="32">
      <c r="A32" t="n">
        <v>31</v>
      </c>
      <c r="B32" t="n">
        <v>966</v>
      </c>
      <c r="C32" t="n">
        <v>137061.03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27"/>
  <sheetViews>
    <sheetView showGridLines="0" workbookViewId="0">
      <selection activeCell="A1" sqref="A1"/>
    </sheetView>
  </sheetViews>
  <sheetFormatPr baseColWidth="8" defaultRowHeight="15"/>
  <cols>
    <col width="1.5" customWidth="1" min="1" max="1"/>
    <col width="1.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.5" customWidth="1" min="21" max="21"/>
  </cols>
  <sheetData>
    <row r="1" ht="5" customHeight="1"/>
    <row r="2" ht="30" customHeight="1">
      <c r="B2" s="1" t="inlineStr">
        <is>
          <t>⚡  RAPIDO  |  Operations Dashboard  —  July 2025</t>
        </is>
      </c>
    </row>
    <row r="3" ht="5" customHeight="1"/>
    <row r="4" ht="18" customHeight="1">
      <c r="C4" s="2" t="inlineStr">
        <is>
          <t>🛵  Total Bookings</t>
        </is>
      </c>
      <c r="G4" s="2" t="inlineStr">
        <is>
          <t>💰  Revenue</t>
        </is>
      </c>
      <c r="K4" s="2" t="inlineStr">
        <is>
          <t>📍  Distance</t>
        </is>
      </c>
      <c r="O4" s="2" t="inlineStr">
        <is>
          <t>🗺️  Avg Distance</t>
        </is>
      </c>
      <c r="S4" s="2" t="inlineStr">
        <is>
          <t>❌  Cancelled</t>
        </is>
      </c>
    </row>
    <row r="5" ht="5" customHeight="1">
      <c r="C5" s="3" t="n"/>
      <c r="G5" s="3" t="n"/>
      <c r="K5" s="3" t="n"/>
      <c r="O5" s="3" t="n"/>
      <c r="S5" s="3" t="n"/>
    </row>
    <row r="6" ht="14" customHeight="1">
      <c r="C6" s="4" t="inlineStr">
        <is>
          <t>30,000</t>
        </is>
      </c>
      <c r="G6" s="5" t="inlineStr">
        <is>
          <t>₹4.20M</t>
        </is>
      </c>
      <c r="K6" s="6" t="inlineStr">
        <is>
          <t>396.0K km</t>
        </is>
      </c>
      <c r="O6" s="4" t="inlineStr">
        <is>
          <t>13.2 km</t>
        </is>
      </c>
      <c r="S6" s="7" t="inlineStr">
        <is>
          <t>3,559</t>
        </is>
      </c>
    </row>
    <row r="7" ht="22" customHeight="1">
      <c r="C7" s="3" t="n"/>
      <c r="G7" s="3" t="n"/>
      <c r="K7" s="3" t="n"/>
      <c r="O7" s="3" t="n"/>
      <c r="S7" s="3" t="n"/>
    </row>
    <row r="8" ht="8" customHeight="1">
      <c r="C8" s="8" t="inlineStr">
        <is>
          <t>July 2025 Total</t>
        </is>
      </c>
      <c r="G8" s="8" t="inlineStr">
        <is>
          <t>Gross Bookings Value</t>
        </is>
      </c>
      <c r="K8" s="8" t="inlineStr">
        <is>
          <t>Total km Covered</t>
        </is>
      </c>
      <c r="O8" s="8" t="inlineStr">
        <is>
          <t>Per Ride Average</t>
        </is>
      </c>
      <c r="S8" s="8" t="inlineStr">
        <is>
          <t>Lost Bookings</t>
        </is>
      </c>
    </row>
    <row r="9" ht="14" customHeight="1">
      <c r="C9" s="9" t="inlineStr">
        <is>
          <t>✅  Completed</t>
        </is>
      </c>
      <c r="G9" s="9" t="inlineStr">
        <is>
          <t>❌  Cancelled</t>
        </is>
      </c>
      <c r="K9" s="9" t="inlineStr">
        <is>
          <t>⚠️  Incomplete</t>
        </is>
      </c>
      <c r="O9" s="9" t="inlineStr">
        <is>
          <t>⭐ Cust Rating</t>
        </is>
      </c>
      <c r="S9" s="9" t="inlineStr">
        <is>
          <t>⭐ Drv Rating</t>
        </is>
      </c>
    </row>
    <row r="10" ht="22" customHeight="1">
      <c r="C10" s="10" t="inlineStr">
        <is>
          <t>24,641</t>
        </is>
      </c>
      <c r="G10" s="11" t="inlineStr">
        <is>
          <t>3,559</t>
        </is>
      </c>
      <c r="K10" s="12" t="inlineStr">
        <is>
          <t>1,800</t>
        </is>
      </c>
      <c r="O10" s="13" t="inlineStr">
        <is>
          <t>4.01 / 5.0</t>
        </is>
      </c>
      <c r="S10" s="13" t="inlineStr">
        <is>
          <t>4.00 / 5.0</t>
        </is>
      </c>
    </row>
    <row r="11" ht="8" customHeight="1">
      <c r="C11" s="14" t="n"/>
      <c r="G11" s="14" t="n"/>
      <c r="K11" s="14" t="n"/>
      <c r="O11" s="14" t="n"/>
      <c r="S11" s="14" t="n"/>
    </row>
    <row r="12" ht="14" customHeight="1">
      <c r="B12" s="15" t="inlineStr">
        <is>
          <t>📊  Daily Bookings  —  July 2025</t>
        </is>
      </c>
    </row>
    <row r="13" ht="135" customHeight="1"/>
    <row r="14" ht="8" customHeight="1">
      <c r="B14" s="15" t="inlineStr">
        <is>
          <t>💳  Revenue by Payment Method</t>
        </is>
      </c>
    </row>
    <row r="15" ht="16" customHeight="1">
      <c r="B15" s="16" t="inlineStr">
        <is>
          <t>UPI</t>
        </is>
      </c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inlineStr">
        <is>
          <t>₹2.09M</t>
        </is>
      </c>
    </row>
    <row r="16" ht="22" customHeight="1"/>
    <row r="17" ht="16" customHeight="1">
      <c r="B17" s="16" t="inlineStr">
        <is>
          <t>Wallet</t>
        </is>
      </c>
      <c r="D17" s="19" t="n"/>
      <c r="E17" s="19" t="n"/>
      <c r="F17" s="19" t="n"/>
      <c r="G17" s="19" t="n"/>
      <c r="H17" s="20" t="n"/>
      <c r="I17" s="20" t="n"/>
      <c r="J17" s="20" t="n"/>
      <c r="K17" s="20" t="n"/>
      <c r="L17" s="18" t="inlineStr">
        <is>
          <t>₹1.06M</t>
        </is>
      </c>
    </row>
    <row r="18" ht="14" customHeight="1">
      <c r="B18" s="15" t="inlineStr">
        <is>
          <t>📈  Daily Revenue (₹)  —  July 2025</t>
        </is>
      </c>
    </row>
    <row r="19" ht="16" customHeight="1">
      <c r="B19" s="16" t="inlineStr">
        <is>
          <t>Cash</t>
        </is>
      </c>
      <c r="D19" s="21" t="n"/>
      <c r="E19" s="21" t="n"/>
      <c r="F19" s="21" t="n"/>
      <c r="G19" s="20" t="n"/>
      <c r="H19" s="20" t="n"/>
      <c r="I19" s="20" t="n"/>
      <c r="J19" s="20" t="n"/>
      <c r="K19" s="20" t="n"/>
      <c r="L19" s="18" t="inlineStr">
        <is>
          <t>₹0.83M</t>
        </is>
      </c>
    </row>
    <row r="20" ht="8" customHeight="1">
      <c r="O20" s="15" t="inlineStr">
        <is>
          <t>📍  Top Locations  &amp;  Vehicle Mix</t>
        </is>
      </c>
    </row>
    <row r="21" ht="16" customHeight="1">
      <c r="B21" s="16" t="inlineStr">
        <is>
          <t>Card</t>
        </is>
      </c>
      <c r="D21" s="22" t="n"/>
      <c r="E21" s="20" t="n"/>
      <c r="F21" s="20" t="n"/>
      <c r="G21" s="20" t="n"/>
      <c r="H21" s="20" t="n"/>
      <c r="I21" s="20" t="n"/>
      <c r="J21" s="20" t="n"/>
      <c r="K21" s="20" t="n"/>
      <c r="L21" s="18" t="inlineStr">
        <is>
          <t>₹0.23M</t>
        </is>
      </c>
      <c r="O21" s="8" t="inlineStr">
        <is>
          <t>🏠 Top Pickup</t>
        </is>
      </c>
      <c r="R21" s="8" t="inlineStr">
        <is>
          <t>📌 Top Drop</t>
        </is>
      </c>
    </row>
    <row r="22" ht="22" customHeight="1">
      <c r="O22" s="23" t="inlineStr">
        <is>
          <t>Delhi
6,092 rides</t>
        </is>
      </c>
      <c r="R22" s="23" t="inlineStr">
        <is>
          <t>Hyderabad
6,043 rides</t>
        </is>
      </c>
    </row>
    <row r="23" ht="8" customHeight="1">
      <c r="O23" s="9" t="inlineStr">
        <is>
          <t>2nd: Hyderabad (6,052)   |   Drop 2nd: Delhi (6,039)</t>
        </is>
      </c>
    </row>
    <row r="24" ht="14" customHeight="1">
      <c r="O24" s="18" t="inlineStr">
        <is>
          <t>🛵  Vehicle Type Mix</t>
        </is>
      </c>
    </row>
    <row r="25" ht="30" customHeight="1">
      <c r="O25" s="24" t="inlineStr">
        <is>
          <t>🛵  Bike
21,001 rides
70.0%</t>
        </is>
      </c>
      <c r="R25" s="25" t="inlineStr">
        <is>
          <t>🛺  Auto
8,999 rides
30.0%</t>
        </is>
      </c>
    </row>
    <row r="26" ht="8" customHeight="1"/>
    <row r="27" ht="18" customHeight="1">
      <c r="B27" s="26" t="inlineStr">
        <is>
          <t>⚡ Rapido Analytics  |  July 2025  |  30,000 Ride Records  |  Built with Claude AI</t>
        </is>
      </c>
    </row>
  </sheetData>
  <mergeCells count="62">
    <mergeCell ref="O20:T20"/>
    <mergeCell ref="L17:M17"/>
    <mergeCell ref="C8:F8"/>
    <mergeCell ref="O8:R8"/>
    <mergeCell ref="G4:J4"/>
    <mergeCell ref="O22:Q22"/>
    <mergeCell ref="C7:F7"/>
    <mergeCell ref="O11:R11"/>
    <mergeCell ref="B14:M14"/>
    <mergeCell ref="K7:N7"/>
    <mergeCell ref="L19:M19"/>
    <mergeCell ref="R21:T21"/>
    <mergeCell ref="O25:Q25"/>
    <mergeCell ref="K10:N10"/>
    <mergeCell ref="S8:T8"/>
    <mergeCell ref="O21:Q21"/>
    <mergeCell ref="K4:N4"/>
    <mergeCell ref="K6:N6"/>
    <mergeCell ref="G9:J9"/>
    <mergeCell ref="B21:C21"/>
    <mergeCell ref="S11:T11"/>
    <mergeCell ref="S7:T7"/>
    <mergeCell ref="O7:R7"/>
    <mergeCell ref="R22:T22"/>
    <mergeCell ref="C6:F6"/>
    <mergeCell ref="L15:M15"/>
    <mergeCell ref="O10:R10"/>
    <mergeCell ref="G11:J11"/>
    <mergeCell ref="O6:R6"/>
    <mergeCell ref="C5:F5"/>
    <mergeCell ref="K9:N9"/>
    <mergeCell ref="B17:C17"/>
    <mergeCell ref="K5:N5"/>
    <mergeCell ref="O9:R9"/>
    <mergeCell ref="S10:T10"/>
    <mergeCell ref="C4:F4"/>
    <mergeCell ref="G8:J8"/>
    <mergeCell ref="B19:C19"/>
    <mergeCell ref="O23:T23"/>
    <mergeCell ref="K11:N11"/>
    <mergeCell ref="S6:T6"/>
    <mergeCell ref="B27:T27"/>
    <mergeCell ref="G7:J7"/>
    <mergeCell ref="O5:R5"/>
    <mergeCell ref="C10:F10"/>
    <mergeCell ref="S9:T9"/>
    <mergeCell ref="B2:T2"/>
    <mergeCell ref="G10:J10"/>
    <mergeCell ref="G6:J6"/>
    <mergeCell ref="C9:F9"/>
    <mergeCell ref="O4:R4"/>
    <mergeCell ref="B15:C15"/>
    <mergeCell ref="L21:M21"/>
    <mergeCell ref="O24:T24"/>
    <mergeCell ref="S5:T5"/>
    <mergeCell ref="K8:N8"/>
    <mergeCell ref="C11:F11"/>
    <mergeCell ref="B18:M18"/>
    <mergeCell ref="R25:T25"/>
    <mergeCell ref="G5:J5"/>
    <mergeCell ref="S4:T4"/>
    <mergeCell ref="B12:M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2026-06-27T15:50:30Z</dcterms:created>
  <dcterms:modified xmlns:dcterms="http://purl.org/dc/terms/" xmlns:xsi="http://www.w3.org/2001/XMLSchema-instance" xsi:type="dcterms:W3CDTF">2026-06-27T15:50:30Z</dcterms:modified>
</cp:coreProperties>
</file>